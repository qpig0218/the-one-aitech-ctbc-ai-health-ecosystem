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補助計劃比較" sheetId="1" state="visible" r:id="rId3"/>
    <sheet name="策略總覽" sheetId="2" state="visible" r:id="rId4"/>
    <sheet name="筆記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<sst xmlns="http://schemas.openxmlformats.org/spreadsheetml/2006/main" count="230" uniqueCount="172">
  <si>
    <t xml:space="preserve">#</t>
  </si>
  <si>
    <t xml:space="preserve">補助名稱</t>
  </si>
  <si>
    <t xml:space="preserve">主管機關</t>
  </si>
  <si>
    <t xml:space="preserve">計畫類型</t>
  </si>
  <si>
    <t xml:space="preserve">適配方向</t>
  </si>
  <si>
    <r>
      <rPr>
        <b val="true"/>
        <sz val="11"/>
        <color rgb="FFFFFFFF"/>
        <rFont val="DejaVu Sans"/>
        <family val="2"/>
      </rPr>
      <t xml:space="preserve">補助上限 </t>
    </r>
    <r>
      <rPr>
        <b val="true"/>
        <sz val="11"/>
        <color rgb="FFFFFFFF"/>
        <rFont val="Arial"/>
        <family val="0"/>
        <charset val="1"/>
      </rPr>
      <t xml:space="preserve">(NT$)</t>
    </r>
  </si>
  <si>
    <t xml:space="preserve">申請主體</t>
  </si>
  <si>
    <t xml:space="preserve">申請期程</t>
  </si>
  <si>
    <r>
      <rPr>
        <b val="true"/>
        <sz val="11"/>
        <color rgb="FFFFFFFF"/>
        <rFont val="DejaVu Sans"/>
        <family val="2"/>
      </rPr>
      <t xml:space="preserve">適配度 </t>
    </r>
    <r>
      <rPr>
        <b val="true"/>
        <sz val="11"/>
        <color rgb="FFFFFFFF"/>
        <rFont val="Arial"/>
        <family val="0"/>
        <charset val="1"/>
      </rPr>
      <t xml:space="preserve">(1-5)</t>
    </r>
  </si>
  <si>
    <t xml:space="preserve">優先級</t>
  </si>
  <si>
    <t xml:space="preserve">聯絡窗口</t>
  </si>
  <si>
    <t xml:space="preserve">官網</t>
  </si>
  <si>
    <r>
      <rPr>
        <b val="true"/>
        <sz val="11"/>
        <color rgb="FFFFFFFF"/>
        <rFont val="Arial"/>
        <family val="0"/>
        <charset val="1"/>
      </rPr>
      <t xml:space="preserve">5/11 </t>
    </r>
    <r>
      <rPr>
        <b val="true"/>
        <sz val="11"/>
        <color rgb="FFFFFFFF"/>
        <rFont val="DejaVu Sans"/>
        <family val="2"/>
      </rPr>
      <t xml:space="preserve">後行動</t>
    </r>
  </si>
  <si>
    <r>
      <rPr>
        <sz val="10"/>
        <rFont val="DejaVu Sans"/>
        <family val="2"/>
      </rPr>
      <t xml:space="preserve">地方型 </t>
    </r>
    <r>
      <rPr>
        <sz val="10"/>
        <rFont val="Arial"/>
        <family val="0"/>
        <charset val="1"/>
      </rPr>
      <t xml:space="preserve">SBIR (</t>
    </r>
    <r>
      <rPr>
        <sz val="10"/>
        <rFont val="DejaVu Sans"/>
        <family val="2"/>
      </rPr>
      <t xml:space="preserve">台南市</t>
    </r>
    <r>
      <rPr>
        <sz val="10"/>
        <rFont val="Arial"/>
        <family val="0"/>
        <charset val="1"/>
      </rPr>
      <t xml:space="preserve">)</t>
    </r>
  </si>
  <si>
    <t xml:space="preserve">台南市政府經濟發展局</t>
  </si>
  <si>
    <t xml:space="preserve">地方產業創新研發</t>
  </si>
  <si>
    <t xml:space="preserve">二＋一</t>
  </si>
  <si>
    <r>
      <rPr>
        <sz val="10"/>
        <rFont val="DejaVu Sans"/>
        <family val="2"/>
      </rPr>
      <t xml:space="preserve">個別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萬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共同 </t>
    </r>
    <r>
      <rPr>
        <sz val="10"/>
        <rFont val="Arial"/>
        <family val="0"/>
        <charset val="1"/>
      </rPr>
      <t xml:space="preserve">200</t>
    </r>
    <r>
      <rPr>
        <sz val="10"/>
        <rFont val="DejaVu Sans"/>
        <family val="2"/>
      </rPr>
      <t xml:space="preserve">萬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聯盟 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萬</t>
    </r>
  </si>
  <si>
    <r>
      <rPr>
        <sz val="10"/>
        <rFont val="DejaVu Sans"/>
        <family val="2"/>
      </rPr>
      <t xml:space="preserve">本一科技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台南設籍</t>
    </r>
    <r>
      <rPr>
        <sz val="10"/>
        <rFont val="Arial"/>
        <family val="0"/>
        <charset val="1"/>
      </rPr>
      <t xml:space="preserve">)</t>
    </r>
  </si>
  <si>
    <t xml:space="preserve">公告後隨到隨受理</t>
  </si>
  <si>
    <t xml:space="preserve">Tier 0</t>
  </si>
  <si>
    <t xml:space="preserve">06-632-3767</t>
  </si>
  <si>
    <t xml:space="preserve">https://www.tainan-sbir.org.tw/</t>
  </si>
  <si>
    <r>
      <rPr>
        <sz val="10"/>
        <rFont val="DejaVu Sans"/>
        <family val="2"/>
      </rPr>
      <t xml:space="preserve">確認 </t>
    </r>
    <r>
      <rPr>
        <sz val="10"/>
        <rFont val="Arial"/>
        <family val="0"/>
        <charset val="1"/>
      </rPr>
      <t xml:space="preserve">2026 </t>
    </r>
    <r>
      <rPr>
        <sz val="10"/>
        <rFont val="DejaVu Sans"/>
        <family val="2"/>
      </rPr>
      <t xml:space="preserve">公告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找聯盟夥伴</t>
    </r>
  </si>
  <si>
    <r>
      <rPr>
        <sz val="10"/>
        <rFont val="DejaVu Sans"/>
        <family val="2"/>
      </rPr>
      <t xml:space="preserve">教育部 </t>
    </r>
    <r>
      <rPr>
        <sz val="10"/>
        <rFont val="Arial"/>
        <family val="0"/>
        <charset val="1"/>
      </rPr>
      <t xml:space="preserve">USR </t>
    </r>
    <r>
      <rPr>
        <sz val="10"/>
        <rFont val="DejaVu Sans"/>
        <family val="2"/>
      </rPr>
      <t xml:space="preserve">第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期</t>
    </r>
  </si>
  <si>
    <t xml:space="preserve">教育部高教司</t>
  </si>
  <si>
    <t xml:space="preserve">大學社會責任計畫</t>
  </si>
  <si>
    <t xml:space="preserve">一</t>
  </si>
  <si>
    <r>
      <rPr>
        <sz val="10"/>
        <rFont val="DejaVu Sans"/>
        <family val="2"/>
      </rPr>
      <t xml:space="preserve">視計畫類型 </t>
    </r>
    <r>
      <rPr>
        <sz val="10"/>
        <rFont val="Arial"/>
        <family val="0"/>
        <charset val="1"/>
      </rPr>
      <t xml:space="preserve">200~1500 </t>
    </r>
    <r>
      <rPr>
        <sz val="10"/>
        <rFont val="DejaVu Sans"/>
        <family val="2"/>
      </rPr>
      <t xml:space="preserve">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年</t>
    </r>
  </si>
  <si>
    <r>
      <rPr>
        <sz val="10"/>
        <rFont val="DejaVu Sans"/>
        <family val="2"/>
      </rPr>
      <t xml:space="preserve">中信科大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本一搭配</t>
    </r>
    <r>
      <rPr>
        <sz val="10"/>
        <rFont val="Arial"/>
        <family val="0"/>
        <charset val="1"/>
      </rPr>
      <t xml:space="preserve">)</t>
    </r>
  </si>
  <si>
    <t xml:space="preserve">依公告期程</t>
  </si>
  <si>
    <t xml:space="preserve">https://usr.moe.gov.tw/</t>
  </si>
  <si>
    <r>
      <rPr>
        <sz val="10"/>
        <rFont val="Arial"/>
        <family val="0"/>
        <charset val="1"/>
      </rPr>
      <t xml:space="preserve">5/11 </t>
    </r>
    <r>
      <rPr>
        <sz val="10"/>
        <rFont val="DejaVu Sans"/>
        <family val="2"/>
      </rPr>
      <t xml:space="preserve">請中信教務啟動內部申請</t>
    </r>
  </si>
  <si>
    <r>
      <rPr>
        <sz val="10"/>
        <rFont val="Arial"/>
        <family val="0"/>
        <charset val="1"/>
      </rPr>
      <t xml:space="preserve">SBIR </t>
    </r>
    <r>
      <rPr>
        <sz val="10"/>
        <rFont val="DejaVu Sans"/>
        <family val="2"/>
      </rPr>
      <t xml:space="preserve">中央 </t>
    </r>
    <r>
      <rPr>
        <sz val="10"/>
        <rFont val="Arial"/>
        <family val="0"/>
        <charset val="1"/>
      </rPr>
      <t xml:space="preserve">Phase 1</t>
    </r>
  </si>
  <si>
    <t xml:space="preserve">經濟部中小及新創企業署</t>
  </si>
  <si>
    <r>
      <rPr>
        <sz val="10"/>
        <rFont val="DejaVu Sans"/>
        <family val="2"/>
      </rPr>
      <t xml:space="preserve">創新研發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先期研究</t>
    </r>
    <r>
      <rPr>
        <sz val="10"/>
        <rFont val="Arial"/>
        <family val="0"/>
        <charset val="1"/>
      </rPr>
      <t xml:space="preserve">)</t>
    </r>
  </si>
  <si>
    <t xml:space="preserve">二＋三</t>
  </si>
  <si>
    <r>
      <rPr>
        <sz val="10"/>
        <rFont val="Arial"/>
        <family val="0"/>
        <charset val="1"/>
      </rPr>
      <t xml:space="preserve">150 </t>
    </r>
    <r>
      <rPr>
        <sz val="10"/>
        <rFont val="DejaVu Sans"/>
        <family val="2"/>
      </rPr>
      <t xml:space="preserve">萬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案 </t>
    </r>
    <r>
      <rPr>
        <sz val="10"/>
        <rFont val="Arial"/>
        <family val="0"/>
        <charset val="1"/>
      </rPr>
      <t xml:space="preserve">(6 </t>
    </r>
    <r>
      <rPr>
        <sz val="10"/>
        <rFont val="DejaVu Sans"/>
        <family val="2"/>
      </rPr>
      <t xml:space="preserve">個月</t>
    </r>
    <r>
      <rPr>
        <sz val="10"/>
        <rFont val="Arial"/>
        <family val="0"/>
        <charset val="1"/>
      </rPr>
      <t xml:space="preserve">)</t>
    </r>
  </si>
  <si>
    <t xml:space="preserve">本一科技</t>
  </si>
  <si>
    <t xml:space="preserve">隨到隨受理</t>
  </si>
  <si>
    <t xml:space="preserve">0800-888-968</t>
  </si>
  <si>
    <t xml:space="preserve">https://sbir.org.tw/</t>
  </si>
  <si>
    <r>
      <rPr>
        <sz val="10"/>
        <rFont val="Arial"/>
        <family val="0"/>
        <charset val="1"/>
      </rPr>
      <t xml:space="preserve">5/11 </t>
    </r>
    <r>
      <rPr>
        <sz val="10"/>
        <rFont val="DejaVu Sans"/>
        <family val="2"/>
      </rPr>
      <t xml:space="preserve">內提交 </t>
    </r>
    <r>
      <rPr>
        <sz val="10"/>
        <rFont val="Arial"/>
        <family val="0"/>
        <charset val="1"/>
      </rPr>
      <t xml:space="preserve">Phase 1 </t>
    </r>
    <r>
      <rPr>
        <sz val="10"/>
        <rFont val="DejaVu Sans"/>
        <family val="2"/>
      </rPr>
      <t xml:space="preserve">試水溫案</t>
    </r>
  </si>
  <si>
    <r>
      <rPr>
        <sz val="10"/>
        <rFont val="Arial"/>
        <family val="0"/>
        <charset val="1"/>
      </rPr>
      <t xml:space="preserve">SBIR </t>
    </r>
    <r>
      <rPr>
        <sz val="10"/>
        <rFont val="DejaVu Sans"/>
        <family val="2"/>
      </rPr>
      <t xml:space="preserve">中央 </t>
    </r>
    <r>
      <rPr>
        <sz val="10"/>
        <rFont val="Arial"/>
        <family val="0"/>
        <charset val="1"/>
      </rPr>
      <t xml:space="preserve">Phase 2</t>
    </r>
  </si>
  <si>
    <r>
      <rPr>
        <sz val="10"/>
        <rFont val="DejaVu Sans"/>
        <family val="2"/>
      </rPr>
      <t xml:space="preserve">創新研發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研究開發</t>
    </r>
    <r>
      <rPr>
        <sz val="10"/>
        <rFont val="Arial"/>
        <family val="0"/>
        <charset val="1"/>
      </rPr>
      <t xml:space="preserve">)</t>
    </r>
  </si>
  <si>
    <t xml:space="preserve">三</t>
  </si>
  <si>
    <r>
      <rPr>
        <sz val="10"/>
        <rFont val="Arial"/>
        <family val="0"/>
        <charset val="1"/>
      </rPr>
      <t xml:space="preserve">1200 </t>
    </r>
    <r>
      <rPr>
        <sz val="10"/>
        <rFont val="DejaVu Sans"/>
        <family val="2"/>
      </rPr>
      <t xml:space="preserve">萬 </t>
    </r>
    <r>
      <rPr>
        <sz val="10"/>
        <rFont val="Arial"/>
        <family val="0"/>
        <charset val="1"/>
      </rPr>
      <t xml:space="preserve">/ 2 </t>
    </r>
    <r>
      <rPr>
        <sz val="10"/>
        <rFont val="DejaVu Sans"/>
        <family val="2"/>
      </rPr>
      <t xml:space="preserve">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每年 </t>
    </r>
    <r>
      <rPr>
        <sz val="10"/>
        <rFont val="Arial"/>
        <family val="0"/>
        <charset val="1"/>
      </rPr>
      <t xml:space="preserve">600 </t>
    </r>
    <r>
      <rPr>
        <sz val="10"/>
        <rFont val="DejaVu Sans"/>
        <family val="2"/>
      </rPr>
      <t xml:space="preserve">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</si>
  <si>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ASML </t>
    </r>
    <r>
      <rPr>
        <sz val="10"/>
        <rFont val="DejaVu Sans"/>
        <family val="2"/>
      </rPr>
      <t xml:space="preserve">案進度後申請</t>
    </r>
  </si>
  <si>
    <r>
      <rPr>
        <sz val="10"/>
        <rFont val="Arial"/>
        <family val="0"/>
        <charset val="1"/>
      </rPr>
      <t xml:space="preserve">A+ </t>
    </r>
    <r>
      <rPr>
        <sz val="10"/>
        <rFont val="DejaVu Sans"/>
        <family val="2"/>
      </rPr>
      <t xml:space="preserve">企業創新研發淬鍊</t>
    </r>
  </si>
  <si>
    <t xml:space="preserve">經濟部產業發展署</t>
  </si>
  <si>
    <t xml:space="preserve">前瞻產業技術開發</t>
  </si>
  <si>
    <t xml:space="preserve">依案件數百萬至千萬</t>
  </si>
  <si>
    <t xml:space="preserve">看徵案公告</t>
  </si>
  <si>
    <t xml:space="preserve">Tier 1</t>
  </si>
  <si>
    <t xml:space="preserve">(02) 2341-2314</t>
  </si>
  <si>
    <t xml:space="preserve">https://service.moea.gov.tw/EE514/tw/aiip/</t>
  </si>
  <si>
    <r>
      <rPr>
        <sz val="10"/>
        <rFont val="Arial"/>
        <family val="0"/>
        <charset val="1"/>
      </rPr>
      <t xml:space="preserve">5/9 </t>
    </r>
    <r>
      <rPr>
        <sz val="10"/>
        <rFont val="DejaVu Sans"/>
        <family val="2"/>
      </rPr>
      <t xml:space="preserve">諮詢智慧醫療類徵案</t>
    </r>
  </si>
  <si>
    <t xml:space="preserve">國科會智慧醫療場域驗證</t>
  </si>
  <si>
    <t xml:space="preserve">國家科學及技術委員會</t>
  </si>
  <si>
    <t xml:space="preserve">智慧醫療產業創新</t>
  </si>
  <si>
    <t xml:space="preserve">數百萬至數千萬</t>
  </si>
  <si>
    <r>
      <rPr>
        <sz val="10"/>
        <rFont val="DejaVu Sans"/>
        <family val="2"/>
      </rPr>
      <t xml:space="preserve">中信科大主提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本一</t>
    </r>
  </si>
  <si>
    <t xml:space="preserve">國科會產學處</t>
  </si>
  <si>
    <t xml:space="preserve">https://www.nstc.gov.tw/folksonomy/rfpList?l=ch</t>
  </si>
  <si>
    <r>
      <rPr>
        <sz val="10"/>
        <rFont val="DejaVu Sans"/>
        <family val="2"/>
      </rPr>
      <t xml:space="preserve">本週訂閱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中信端找教授對接</t>
    </r>
  </si>
  <si>
    <r>
      <rPr>
        <sz val="10"/>
        <rFont val="Arial"/>
        <family val="0"/>
        <charset val="1"/>
      </rPr>
      <t xml:space="preserve">TTQS </t>
    </r>
    <r>
      <rPr>
        <sz val="10"/>
        <rFont val="DejaVu Sans"/>
        <family val="2"/>
      </rPr>
      <t xml:space="preserve">評核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大人提</t>
    </r>
  </si>
  <si>
    <t xml:space="preserve">勞動部勞動力發展署</t>
  </si>
  <si>
    <t xml:space="preserve">企業人力資源提升</t>
  </si>
  <si>
    <r>
      <rPr>
        <sz val="10"/>
        <rFont val="DejaVu Sans"/>
        <family val="2"/>
      </rPr>
      <t xml:space="preserve">大人提最高 </t>
    </r>
    <r>
      <rPr>
        <sz val="10"/>
        <rFont val="Arial"/>
        <family val="0"/>
        <charset val="1"/>
      </rPr>
      <t xml:space="preserve">200 </t>
    </r>
    <r>
      <rPr>
        <sz val="10"/>
        <rFont val="DejaVu Sans"/>
        <family val="2"/>
      </rPr>
      <t xml:space="preserve">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年</t>
    </r>
  </si>
  <si>
    <r>
      <rPr>
        <sz val="10"/>
        <rFont val="DejaVu Sans"/>
        <family val="2"/>
      </rPr>
      <t xml:space="preserve">本一科技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先評核</t>
    </r>
    <r>
      <rPr>
        <sz val="10"/>
        <rFont val="Arial"/>
        <family val="0"/>
        <charset val="1"/>
      </rPr>
      <t xml:space="preserve">)</t>
    </r>
  </si>
  <si>
    <t xml:space="preserve">全年</t>
  </si>
  <si>
    <t xml:space="preserve">勞發署</t>
  </si>
  <si>
    <t xml:space="preserve">https://ttqs.wda.gov.tw/</t>
  </si>
  <si>
    <r>
      <rPr>
        <sz val="10"/>
        <rFont val="DejaVu Sans"/>
        <family val="2"/>
      </rPr>
      <t xml:space="preserve">本一科技自行先取得 </t>
    </r>
    <r>
      <rPr>
        <sz val="10"/>
        <rFont val="Arial"/>
        <family val="0"/>
        <charset val="1"/>
      </rPr>
      <t xml:space="preserve">TTQS </t>
    </r>
    <r>
      <rPr>
        <sz val="10"/>
        <rFont val="DejaVu Sans"/>
        <family val="2"/>
      </rPr>
      <t xml:space="preserve">評核</t>
    </r>
  </si>
  <si>
    <t xml:space="preserve">SBIR Phase 2+</t>
  </si>
  <si>
    <r>
      <rPr>
        <sz val="10"/>
        <rFont val="DejaVu Sans"/>
        <family val="2"/>
      </rPr>
      <t xml:space="preserve">加值應用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商業化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</si>
  <si>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600 </t>
    </r>
    <r>
      <rPr>
        <sz val="10"/>
        <rFont val="DejaVu Sans"/>
        <family val="2"/>
      </rPr>
      <t xml:space="preserve">萬 </t>
    </r>
    <r>
      <rPr>
        <sz val="10"/>
        <rFont val="Arial"/>
        <family val="0"/>
        <charset val="1"/>
      </rPr>
      <t xml:space="preserve">/ 1 </t>
    </r>
    <r>
      <rPr>
        <sz val="10"/>
        <rFont val="DejaVu Sans"/>
        <family val="2"/>
      </rPr>
      <t xml:space="preserve">年</t>
    </r>
  </si>
  <si>
    <r>
      <rPr>
        <sz val="10"/>
        <rFont val="Arial"/>
        <family val="0"/>
        <charset val="1"/>
      </rPr>
      <t xml:space="preserve">Phase 2 </t>
    </r>
    <r>
      <rPr>
        <sz val="10"/>
        <rFont val="DejaVu Sans"/>
        <family val="2"/>
      </rPr>
      <t xml:space="preserve">結束後申請</t>
    </r>
  </si>
  <si>
    <r>
      <rPr>
        <sz val="10"/>
        <rFont val="Arial"/>
        <family val="0"/>
        <charset val="1"/>
      </rPr>
      <t xml:space="preserve">AI+ </t>
    </r>
    <r>
      <rPr>
        <sz val="10"/>
        <rFont val="DejaVu Sans"/>
        <family val="2"/>
      </rPr>
      <t xml:space="preserve">產業智慧共創實證</t>
    </r>
  </si>
  <si>
    <r>
      <rPr>
        <sz val="10"/>
        <rFont val="DejaVu Sans"/>
        <family val="2"/>
      </rPr>
      <t xml:space="preserve">國發會 </t>
    </r>
    <r>
      <rPr>
        <sz val="10"/>
        <rFont val="Arial"/>
        <family val="0"/>
        <charset val="1"/>
      </rPr>
      <t xml:space="preserve">+ TCA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</si>
  <si>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產業應用實證</t>
    </r>
  </si>
  <si>
    <t xml:space="preserve">依案件</t>
  </si>
  <si>
    <t xml:space="preserve">依公告</t>
  </si>
  <si>
    <t xml:space="preserve">TCA</t>
  </si>
  <si>
    <t xml:space="preserve">https://ndc5gsc.tca.org.tw/</t>
  </si>
  <si>
    <r>
      <rPr>
        <sz val="10"/>
        <rFont val="DejaVu Sans"/>
        <family val="2"/>
      </rPr>
      <t xml:space="preserve">確認 </t>
    </r>
    <r>
      <rPr>
        <sz val="10"/>
        <rFont val="Arial"/>
        <family val="0"/>
        <charset val="1"/>
      </rPr>
      <t xml:space="preserve">2026 </t>
    </r>
    <r>
      <rPr>
        <sz val="10"/>
        <rFont val="DejaVu Sans"/>
        <family val="2"/>
      </rPr>
      <t xml:space="preserve">年度公告</t>
    </r>
  </si>
  <si>
    <t xml:space="preserve">業界科技專案</t>
  </si>
  <si>
    <t xml:space="preserve">經濟部產業技術司</t>
  </si>
  <si>
    <t xml:space="preserve">業界主導科技開發</t>
  </si>
  <si>
    <t xml:space="preserve">中至大型</t>
  </si>
  <si>
    <r>
      <rPr>
        <sz val="10"/>
        <rFont val="DejaVu Sans"/>
        <family val="2"/>
      </rPr>
      <t xml:space="preserve">本一科技 </t>
    </r>
    <r>
      <rPr>
        <sz val="10"/>
        <rFont val="Arial"/>
        <family val="0"/>
        <charset val="1"/>
      </rPr>
      <t xml:space="preserve">+ ASML</t>
    </r>
  </si>
  <si>
    <t xml:space="preserve">產業技術司</t>
  </si>
  <si>
    <t xml:space="preserve">https://www.moea.gov.tw/MNS/doit/</t>
  </si>
  <si>
    <r>
      <rPr>
        <sz val="10"/>
        <rFont val="DejaVu Sans"/>
        <family val="2"/>
      </rPr>
      <t xml:space="preserve">與 </t>
    </r>
    <r>
      <rPr>
        <sz val="10"/>
        <rFont val="Arial"/>
        <family val="0"/>
        <charset val="1"/>
      </rPr>
      <t xml:space="preserve">ASML </t>
    </r>
    <r>
      <rPr>
        <sz val="10"/>
        <rFont val="DejaVu Sans"/>
        <family val="2"/>
      </rPr>
      <t xml:space="preserve">案綁</t>
    </r>
  </si>
  <si>
    <t xml:space="preserve">大南方科技園區計畫</t>
  </si>
  <si>
    <r>
      <rPr>
        <sz val="10"/>
        <rFont val="DejaVu Sans"/>
        <family val="2"/>
      </rPr>
      <t xml:space="preserve">國科會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南科管理局</t>
    </r>
  </si>
  <si>
    <t xml:space="preserve">整合性多年期計畫</t>
  </si>
  <si>
    <r>
      <rPr>
        <sz val="10"/>
        <rFont val="DejaVu Sans"/>
        <family val="2"/>
      </rPr>
      <t xml:space="preserve">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二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三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整合大標</t>
    </r>
    <r>
      <rPr>
        <sz val="10"/>
        <rFont val="Arial"/>
        <family val="0"/>
        <charset val="1"/>
      </rPr>
      <t xml:space="preserve">)</t>
    </r>
  </si>
  <si>
    <t xml:space="preserve">數千萬至上億</t>
  </si>
  <si>
    <r>
      <rPr>
        <sz val="10"/>
        <rFont val="DejaVu Sans"/>
        <family val="2"/>
      </rPr>
      <t xml:space="preserve">本一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中信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南科</t>
    </r>
  </si>
  <si>
    <t xml:space="preserve">待官方公告</t>
  </si>
  <si>
    <t xml:space="preserve">Tier 2</t>
  </si>
  <si>
    <t xml:space="preserve">南科管理局</t>
  </si>
  <si>
    <t xml:space="preserve">待公告</t>
  </si>
  <si>
    <r>
      <rPr>
        <sz val="10"/>
        <rFont val="Arial"/>
        <family val="0"/>
        <charset val="1"/>
      </rPr>
      <t xml:space="preserve">5/11 </t>
    </r>
    <r>
      <rPr>
        <sz val="10"/>
        <rFont val="DejaVu Sans"/>
        <family val="2"/>
      </rPr>
      <t xml:space="preserve">後接觸南科辦公室窗口</t>
    </r>
  </si>
  <si>
    <t xml:space="preserve">衛福部健康促進</t>
  </si>
  <si>
    <t xml:space="preserve">衛福部國健署</t>
  </si>
  <si>
    <t xml:space="preserve">健康促進計畫</t>
  </si>
  <si>
    <t xml:space="preserve">一＋二</t>
  </si>
  <si>
    <t xml:space="preserve">中信健管系所主提</t>
  </si>
  <si>
    <t xml:space="preserve">國健署</t>
  </si>
  <si>
    <t xml:space="preserve">https://www.hpa.gov.tw/</t>
  </si>
  <si>
    <t xml:space="preserve">中信端啟動研究合作申請</t>
  </si>
  <si>
    <t xml:space="preserve">衛福部心理健康支持</t>
  </si>
  <si>
    <t xml:space="preserve">衛福部心理健康司</t>
  </si>
  <si>
    <r>
      <rPr>
        <sz val="10"/>
        <rFont val="DejaVu Sans"/>
        <family val="2"/>
      </rPr>
      <t xml:space="preserve">青壯心理健康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職場心衛</t>
    </r>
  </si>
  <si>
    <r>
      <rPr>
        <sz val="10"/>
        <rFont val="DejaVu Sans"/>
        <family val="2"/>
      </rPr>
      <t xml:space="preserve">中信學務處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含心理師</t>
    </r>
    <r>
      <rPr>
        <sz val="10"/>
        <rFont val="Arial"/>
        <family val="0"/>
        <charset val="1"/>
      </rPr>
      <t xml:space="preserve">)</t>
    </r>
  </si>
  <si>
    <t xml:space="preserve">心理健康司</t>
  </si>
  <si>
    <t xml:space="preserve">https://dep.mohw.gov.tw/DOMHAOH/np-326-107.html</t>
  </si>
  <si>
    <t xml:space="preserve">中信學務處心理師接洽</t>
  </si>
  <si>
    <r>
      <rPr>
        <sz val="10"/>
        <rFont val="DejaVu Sans"/>
        <family val="2"/>
      </rPr>
      <t xml:space="preserve">長照 </t>
    </r>
    <r>
      <rPr>
        <sz val="10"/>
        <rFont val="Arial"/>
        <family val="0"/>
        <charset val="1"/>
      </rPr>
      <t xml:space="preserve">3.0 </t>
    </r>
    <r>
      <rPr>
        <sz val="10"/>
        <rFont val="DejaVu Sans"/>
        <family val="2"/>
      </rPr>
      <t xml:space="preserve">健康促進</t>
    </r>
  </si>
  <si>
    <t xml:space="preserve">衛福部長照司</t>
  </si>
  <si>
    <r>
      <rPr>
        <sz val="10"/>
        <rFont val="DejaVu Sans"/>
        <family val="2"/>
      </rPr>
      <t xml:space="preserve">一＋四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延伸</t>
    </r>
    <r>
      <rPr>
        <sz val="10"/>
        <rFont val="Arial"/>
        <family val="0"/>
        <charset val="1"/>
      </rPr>
      <t xml:space="preserve">)</t>
    </r>
  </si>
  <si>
    <t xml:space="preserve">中信＋本一</t>
  </si>
  <si>
    <r>
      <rPr>
        <sz val="10"/>
        <rFont val="Arial"/>
        <family val="0"/>
        <charset val="1"/>
      </rPr>
      <t xml:space="preserve">2026 </t>
    </r>
    <r>
      <rPr>
        <sz val="10"/>
        <rFont val="DejaVu Sans"/>
        <family val="2"/>
      </rPr>
      <t xml:space="preserve">上路</t>
    </r>
  </si>
  <si>
    <t xml:space="preserve">長照司</t>
  </si>
  <si>
    <t xml:space="preserve">https://1966.gov.tw/</t>
  </si>
  <si>
    <r>
      <rPr>
        <sz val="10"/>
        <rFont val="DejaVu Sans"/>
        <family val="2"/>
      </rPr>
      <t xml:space="preserve">等 </t>
    </r>
    <r>
      <rPr>
        <sz val="10"/>
        <rFont val="Arial"/>
        <family val="0"/>
        <charset val="1"/>
      </rPr>
      <t xml:space="preserve">2026 </t>
    </r>
    <r>
      <rPr>
        <sz val="10"/>
        <rFont val="DejaVu Sans"/>
        <family val="2"/>
      </rPr>
      <t xml:space="preserve">計畫官方公告</t>
    </r>
  </si>
  <si>
    <r>
      <rPr>
        <sz val="10"/>
        <rFont val="DejaVu Sans"/>
        <family val="2"/>
      </rPr>
      <t xml:space="preserve">地方創生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歸仁區</t>
    </r>
    <r>
      <rPr>
        <sz val="10"/>
        <rFont val="Arial"/>
        <family val="0"/>
        <charset val="1"/>
      </rPr>
      <t xml:space="preserve">)</t>
    </r>
  </si>
  <si>
    <t xml:space="preserve">國發會</t>
  </si>
  <si>
    <t xml:space="preserve">地方創生計畫</t>
  </si>
  <si>
    <t xml:space="preserve">一延伸</t>
  </si>
  <si>
    <t xml:space="preserve">數百萬</t>
  </si>
  <si>
    <t xml:space="preserve">中信＋區公所</t>
  </si>
  <si>
    <t xml:space="preserve">歸仁區公所</t>
  </si>
  <si>
    <t xml:space="preserve">https://www.ndc.gov.tw/</t>
  </si>
  <si>
    <r>
      <rPr>
        <sz val="10"/>
        <rFont val="DejaVu Sans"/>
        <family val="2"/>
      </rPr>
      <t xml:space="preserve">搭配 </t>
    </r>
    <r>
      <rPr>
        <sz val="10"/>
        <rFont val="Arial"/>
        <family val="0"/>
        <charset val="1"/>
      </rPr>
      <t xml:space="preserve">USR </t>
    </r>
    <r>
      <rPr>
        <sz val="10"/>
        <rFont val="DejaVu Sans"/>
        <family val="2"/>
      </rPr>
      <t xml:space="preserve">一起申請</t>
    </r>
  </si>
  <si>
    <t xml:space="preserve">智慧城市實證</t>
  </si>
  <si>
    <r>
      <rPr>
        <sz val="10"/>
        <rFont val="DejaVu Sans"/>
        <family val="2"/>
      </rPr>
      <t xml:space="preserve">台南市研考會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數位治理</t>
    </r>
  </si>
  <si>
    <t xml:space="preserve">智慧城市試點</t>
  </si>
  <si>
    <t xml:space="preserve">三延伸</t>
  </si>
  <si>
    <r>
      <rPr>
        <sz val="10"/>
        <rFont val="DejaVu Sans"/>
        <family val="2"/>
      </rPr>
      <t xml:space="preserve">本一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市府</t>
    </r>
  </si>
  <si>
    <t xml:space="preserve">市府數位治理</t>
  </si>
  <si>
    <t xml:space="preserve">https://www.tainan.gov.tw/</t>
  </si>
  <si>
    <r>
      <rPr>
        <sz val="10"/>
        <rFont val="Arial"/>
        <family val="0"/>
        <charset val="1"/>
      </rPr>
      <t xml:space="preserve">BD </t>
    </r>
    <r>
      <rPr>
        <sz val="10"/>
        <rFont val="DejaVu Sans"/>
        <family val="2"/>
      </rPr>
      <t xml:space="preserve">直接接洽</t>
    </r>
  </si>
  <si>
    <t xml:space="preserve">計畫數</t>
  </si>
  <si>
    <r>
      <rPr>
        <b val="true"/>
        <sz val="11"/>
        <color rgb="FFFFFFFF"/>
        <rFont val="DejaVu Sans"/>
        <family val="2"/>
      </rPr>
      <t xml:space="preserve">預估補助合計上限 </t>
    </r>
    <r>
      <rPr>
        <b val="true"/>
        <sz val="11"/>
        <color rgb="FFFFFFFF"/>
        <rFont val="Arial"/>
        <family val="0"/>
        <charset val="1"/>
      </rPr>
      <t xml:space="preserve">(NT$)</t>
    </r>
  </si>
  <si>
    <t xml:space="preserve">本週要動的事</t>
  </si>
  <si>
    <r>
      <rPr>
        <sz val="10"/>
        <rFont val="DejaVu Sans"/>
        <family val="2"/>
      </rPr>
      <t xml:space="preserve">地方型 </t>
    </r>
    <r>
      <rPr>
        <sz val="10"/>
        <rFont val="Arial"/>
        <family val="0"/>
        <charset val="1"/>
      </rPr>
      <t xml:space="preserve">SBIR + USR + SBIR Phase 1</t>
    </r>
  </si>
  <si>
    <r>
      <rPr>
        <sz val="10"/>
        <rFont val="Arial"/>
        <family val="0"/>
        <charset val="1"/>
      </rPr>
      <t xml:space="preserve">A+ </t>
    </r>
    <r>
      <rPr>
        <sz val="10"/>
        <rFont val="DejaVu Sans"/>
        <family val="2"/>
      </rPr>
      <t xml:space="preserve">諮詢、</t>
    </r>
    <r>
      <rPr>
        <sz val="10"/>
        <rFont val="Arial"/>
        <family val="0"/>
        <charset val="1"/>
      </rPr>
      <t xml:space="preserve">TTQS </t>
    </r>
    <r>
      <rPr>
        <sz val="10"/>
        <rFont val="DejaVu Sans"/>
        <family val="2"/>
      </rPr>
      <t xml:space="preserve">評核啟動、國科會訂閱</t>
    </r>
  </si>
  <si>
    <r>
      <rPr>
        <sz val="10"/>
        <rFont val="DejaVu Sans"/>
        <family val="2"/>
      </rPr>
      <t xml:space="preserve">大南方接觸、長照</t>
    </r>
    <r>
      <rPr>
        <sz val="10"/>
        <rFont val="Arial"/>
        <family val="0"/>
        <charset val="1"/>
      </rPr>
      <t xml:space="preserve">3.0</t>
    </r>
    <r>
      <rPr>
        <sz val="10"/>
        <rFont val="DejaVu Sans"/>
        <family val="2"/>
      </rPr>
      <t xml:space="preserve">觀察</t>
    </r>
  </si>
  <si>
    <t xml:space="preserve">合計</t>
  </si>
  <si>
    <t xml:space="preserve">欄位定義</t>
  </si>
  <si>
    <r>
      <rPr>
        <sz val="11"/>
        <color theme="1"/>
        <rFont val="DejaVu Sans"/>
        <family val="2"/>
      </rPr>
      <t xml:space="preserve">一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人才培訓認證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二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南科廠商服務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三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南科大廠示範方案</t>
    </r>
  </si>
  <si>
    <t xml:space="preserve">適配度</t>
  </si>
  <si>
    <r>
      <rPr>
        <sz val="11"/>
        <color theme="1"/>
        <rFont val="Calibri"/>
        <family val="2"/>
        <charset val="1"/>
      </rPr>
      <t xml:space="preserve">1=</t>
    </r>
    <r>
      <rPr>
        <sz val="11"/>
        <color theme="1"/>
        <rFont val="DejaVu Sans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5=</t>
    </r>
    <r>
      <rPr>
        <sz val="11"/>
        <color theme="1"/>
        <rFont val="DejaVu Sans"/>
        <family val="2"/>
      </rPr>
      <t xml:space="preserve">極高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主觀評分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</si>
  <si>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優先級 </t>
    </r>
    <r>
      <rPr>
        <sz val="11"/>
        <color theme="1"/>
        <rFont val="Calibri"/>
        <family val="2"/>
        <charset val="1"/>
      </rPr>
      <t xml:space="preserve">Tier 0</t>
    </r>
  </si>
  <si>
    <r>
      <rPr>
        <sz val="11"/>
        <color theme="1"/>
        <rFont val="DejaVu Sans"/>
        <family val="2"/>
      </rPr>
      <t xml:space="preserve">本週啟動，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DejaVu Sans"/>
        <family val="2"/>
      </rPr>
      <t xml:space="preserve">月內送件</t>
    </r>
  </si>
  <si>
    <r>
      <rPr>
        <sz val="11"/>
        <color theme="1"/>
        <rFont val="DejaVu Sans"/>
        <family val="2"/>
      </rPr>
      <t xml:space="preserve">優先級 </t>
    </r>
    <r>
      <rPr>
        <sz val="11"/>
        <color theme="1"/>
        <rFont val="Calibri"/>
        <family val="2"/>
        <charset val="1"/>
      </rPr>
      <t xml:space="preserve">Tier 1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</si>
  <si>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DejaVu Sans"/>
        <family val="2"/>
      </rPr>
      <t xml:space="preserve">啟動 </t>
    </r>
    <r>
      <rPr>
        <sz val="11"/>
        <color theme="1"/>
        <rFont val="Calibri"/>
        <family val="2"/>
        <charset val="1"/>
      </rPr>
      <t xml:space="preserve">(6–8 </t>
    </r>
    <r>
      <rPr>
        <sz val="11"/>
        <color theme="1"/>
        <rFont val="DejaVu Sans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</si>
  <si>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優先級 </t>
    </r>
    <r>
      <rPr>
        <sz val="11"/>
        <color theme="1"/>
        <rFont val="Calibri"/>
        <family val="2"/>
        <charset val="1"/>
      </rPr>
      <t xml:space="preserve">Tier 2</t>
    </r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</si>
  <si>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DejaVu Sans"/>
        <family val="2"/>
      </rPr>
      <t xml:space="preserve">後啟動，需先接觸利害關係人</t>
    </r>
  </si>
  <si>
    <t xml:space="preserve">資料來源</t>
  </si>
  <si>
    <t xml:space="preserve">國科會計畫徵求專區</t>
  </si>
  <si>
    <r>
      <rPr>
        <sz val="11"/>
        <color theme="1"/>
        <rFont val="DejaVu Sans"/>
        <family val="2"/>
      </rPr>
      <t xml:space="preserve">經濟部 </t>
    </r>
    <r>
      <rPr>
        <sz val="11"/>
        <color theme="1"/>
        <rFont val="Calibri"/>
        <family val="2"/>
        <charset val="1"/>
      </rPr>
      <t xml:space="preserve">SBIR</t>
    </r>
  </si>
  <si>
    <r>
      <rPr>
        <sz val="11"/>
        <color theme="1"/>
        <rFont val="DejaVu Sans"/>
        <family val="2"/>
      </rPr>
      <t xml:space="preserve">台南地方型 </t>
    </r>
    <r>
      <rPr>
        <sz val="11"/>
        <color theme="1"/>
        <rFont val="Calibri"/>
        <family val="2"/>
        <charset val="1"/>
      </rPr>
      <t xml:space="preserve">SBIR</t>
    </r>
  </si>
  <si>
    <r>
      <rPr>
        <sz val="11"/>
        <color theme="1"/>
        <rFont val="Calibri"/>
        <family val="2"/>
        <charset val="1"/>
      </rPr>
      <t xml:space="preserve">A+ </t>
    </r>
    <r>
      <rPr>
        <sz val="11"/>
        <color theme="1"/>
        <rFont val="DejaVu Sans"/>
        <family val="2"/>
      </rPr>
      <t xml:space="preserve">計畫</t>
    </r>
  </si>
  <si>
    <r>
      <rPr>
        <sz val="11"/>
        <color theme="1"/>
        <rFont val="DejaVu Sans"/>
        <family val="2"/>
      </rPr>
      <t xml:space="preserve">教育部 </t>
    </r>
    <r>
      <rPr>
        <sz val="11"/>
        <color theme="1"/>
        <rFont val="Calibri"/>
        <family val="2"/>
        <charset val="1"/>
      </rPr>
      <t xml:space="preserve">USR</t>
    </r>
  </si>
  <si>
    <t xml:space="preserve">TTQS</t>
  </si>
  <si>
    <r>
      <rPr>
        <sz val="11"/>
        <color theme="1"/>
        <rFont val="DejaVu Sans"/>
        <family val="2"/>
      </rPr>
      <t xml:space="preserve">國發會 </t>
    </r>
    <r>
      <rPr>
        <sz val="11"/>
        <color theme="1"/>
        <rFont val="Calibri"/>
        <family val="2"/>
        <charset val="1"/>
      </rPr>
      <t xml:space="preserve">AI+ </t>
    </r>
    <r>
      <rPr>
        <sz val="11"/>
        <color theme="1"/>
        <rFont val="DejaVu Sans"/>
        <family val="2"/>
      </rPr>
      <t xml:space="preserve">共創實證</t>
    </r>
  </si>
  <si>
    <t xml:space="preserve">更新日期</t>
  </si>
  <si>
    <t xml:space="preserve">2026-05-05 v1.0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</si>
</sst>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2"/>
      <name val="DejaVu Sans"/>
      <family val="2"/>
    </font>
    <font>
      <sz val="11"/>
      <color theme="1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E4B5"/>
        <bgColor rgb="FFFFFF99"/>
      </patternFill>
    </fill>
    <fill>
      <patternFill patternType="solid">
        <fgColor rgb="FFE0F2F1"/>
        <bgColor rgb="FFF0E6FA"/>
      </patternFill>
    </fill>
    <fill>
      <patternFill patternType="solid">
        <fgColor rgb="FFF0E6FA"/>
        <bgColor rgb="FFE0F2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E6FA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22"/>
    <col collapsed="false" customWidth="true" hidden="false" outlineLevel="0" max="12" min="12" style="0" width="38"/>
    <col collapsed="false" customWidth="true" hidden="false" outlineLevel="0" max="13" min="13" style="0" width="28"/>
  </cols>
  <sheetData>
    <row r="1" customFormat="false" ht="37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customFormat="false" ht="23.85" hidden="false" customHeight="false" outlineLevel="0" collapsed="false">
      <c r="A2" s="3" t="n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3" t="n">
        <v>5</v>
      </c>
      <c r="J2" s="3" t="s">
        <v>20</v>
      </c>
      <c r="K2" s="3" t="s">
        <v>21</v>
      </c>
      <c r="L2" s="3" t="s">
        <v>22</v>
      </c>
      <c r="M2" s="4" t="s">
        <v>23</v>
      </c>
    </row>
    <row r="3" customFormat="false" ht="15" hidden="false" customHeight="false" outlineLevel="0" collapsed="false">
      <c r="A3" s="3" t="n">
        <v>2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3" t="n">
        <v>5</v>
      </c>
      <c r="J3" s="3" t="s">
        <v>20</v>
      </c>
      <c r="K3" s="4" t="s">
        <v>25</v>
      </c>
      <c r="L3" s="3" t="s">
        <v>31</v>
      </c>
      <c r="M3" s="3" t="s">
        <v>32</v>
      </c>
    </row>
    <row r="4" customFormat="false" ht="15" hidden="false" customHeight="false" outlineLevel="0" collapsed="false">
      <c r="A4" s="3" t="n">
        <v>3</v>
      </c>
      <c r="B4" s="3" t="s">
        <v>33</v>
      </c>
      <c r="C4" s="4" t="s">
        <v>34</v>
      </c>
      <c r="D4" s="4" t="s">
        <v>35</v>
      </c>
      <c r="E4" s="4" t="s">
        <v>36</v>
      </c>
      <c r="F4" s="3" t="s">
        <v>37</v>
      </c>
      <c r="G4" s="4" t="s">
        <v>38</v>
      </c>
      <c r="H4" s="4" t="s">
        <v>39</v>
      </c>
      <c r="I4" s="3" t="n">
        <v>5</v>
      </c>
      <c r="J4" s="3" t="s">
        <v>20</v>
      </c>
      <c r="K4" s="3" t="s">
        <v>40</v>
      </c>
      <c r="L4" s="3" t="s">
        <v>41</v>
      </c>
      <c r="M4" s="3" t="s">
        <v>42</v>
      </c>
    </row>
    <row r="5" customFormat="false" ht="15" hidden="false" customHeight="false" outlineLevel="0" collapsed="false">
      <c r="A5" s="3" t="n">
        <v>4</v>
      </c>
      <c r="B5" s="3" t="s">
        <v>43</v>
      </c>
      <c r="C5" s="4" t="s">
        <v>34</v>
      </c>
      <c r="D5" s="4" t="s">
        <v>44</v>
      </c>
      <c r="E5" s="4" t="s">
        <v>45</v>
      </c>
      <c r="F5" s="3" t="s">
        <v>46</v>
      </c>
      <c r="G5" s="4" t="s">
        <v>38</v>
      </c>
      <c r="H5" s="4" t="s">
        <v>39</v>
      </c>
      <c r="I5" s="3" t="n">
        <v>5</v>
      </c>
      <c r="J5" s="3" t="s">
        <v>20</v>
      </c>
      <c r="K5" s="3" t="s">
        <v>40</v>
      </c>
      <c r="L5" s="3" t="s">
        <v>41</v>
      </c>
      <c r="M5" s="3" t="s">
        <v>47</v>
      </c>
    </row>
    <row r="6" customFormat="false" ht="15" hidden="false" customHeight="false" outlineLevel="0" collapsed="false">
      <c r="A6" s="5" t="n">
        <v>5</v>
      </c>
      <c r="B6" s="5" t="s">
        <v>48</v>
      </c>
      <c r="C6" s="6" t="s">
        <v>49</v>
      </c>
      <c r="D6" s="6" t="s">
        <v>50</v>
      </c>
      <c r="E6" s="6" t="s">
        <v>45</v>
      </c>
      <c r="F6" s="6" t="s">
        <v>51</v>
      </c>
      <c r="G6" s="6" t="s">
        <v>38</v>
      </c>
      <c r="H6" s="6" t="s">
        <v>52</v>
      </c>
      <c r="I6" s="5" t="n">
        <v>4</v>
      </c>
      <c r="J6" s="5" t="s">
        <v>53</v>
      </c>
      <c r="K6" s="5" t="s">
        <v>54</v>
      </c>
      <c r="L6" s="5" t="s">
        <v>55</v>
      </c>
      <c r="M6" s="5" t="s">
        <v>56</v>
      </c>
    </row>
    <row r="7" customFormat="false" ht="23.85" hidden="false" customHeight="false" outlineLevel="0" collapsed="false">
      <c r="A7" s="5" t="n">
        <v>6</v>
      </c>
      <c r="B7" s="6" t="s">
        <v>57</v>
      </c>
      <c r="C7" s="6" t="s">
        <v>58</v>
      </c>
      <c r="D7" s="6" t="s">
        <v>59</v>
      </c>
      <c r="E7" s="6" t="s">
        <v>45</v>
      </c>
      <c r="F7" s="6" t="s">
        <v>60</v>
      </c>
      <c r="G7" s="6" t="s">
        <v>61</v>
      </c>
      <c r="H7" s="6" t="s">
        <v>30</v>
      </c>
      <c r="I7" s="5" t="n">
        <v>4</v>
      </c>
      <c r="J7" s="5" t="s">
        <v>53</v>
      </c>
      <c r="K7" s="6" t="s">
        <v>62</v>
      </c>
      <c r="L7" s="5" t="s">
        <v>63</v>
      </c>
      <c r="M7" s="6" t="s">
        <v>64</v>
      </c>
    </row>
    <row r="8" customFormat="false" ht="15" hidden="false" customHeight="false" outlineLevel="0" collapsed="false">
      <c r="A8" s="5" t="n">
        <v>7</v>
      </c>
      <c r="B8" s="5" t="s">
        <v>65</v>
      </c>
      <c r="C8" s="6" t="s">
        <v>66</v>
      </c>
      <c r="D8" s="6" t="s">
        <v>67</v>
      </c>
      <c r="E8" s="6" t="s">
        <v>27</v>
      </c>
      <c r="F8" s="6" t="s">
        <v>68</v>
      </c>
      <c r="G8" s="6" t="s">
        <v>69</v>
      </c>
      <c r="H8" s="6" t="s">
        <v>70</v>
      </c>
      <c r="I8" s="5" t="n">
        <v>4</v>
      </c>
      <c r="J8" s="5" t="s">
        <v>53</v>
      </c>
      <c r="K8" s="6" t="s">
        <v>71</v>
      </c>
      <c r="L8" s="5" t="s">
        <v>72</v>
      </c>
      <c r="M8" s="6" t="s">
        <v>73</v>
      </c>
    </row>
    <row r="9" customFormat="false" ht="15" hidden="false" customHeight="false" outlineLevel="0" collapsed="false">
      <c r="A9" s="5" t="n">
        <v>8</v>
      </c>
      <c r="B9" s="5" t="s">
        <v>74</v>
      </c>
      <c r="C9" s="6" t="s">
        <v>34</v>
      </c>
      <c r="D9" s="6" t="s">
        <v>75</v>
      </c>
      <c r="E9" s="6" t="s">
        <v>36</v>
      </c>
      <c r="F9" s="5" t="s">
        <v>76</v>
      </c>
      <c r="G9" s="6" t="s">
        <v>38</v>
      </c>
      <c r="H9" s="6" t="s">
        <v>39</v>
      </c>
      <c r="I9" s="5" t="n">
        <v>4</v>
      </c>
      <c r="J9" s="5" t="s">
        <v>53</v>
      </c>
      <c r="K9" s="5" t="s">
        <v>40</v>
      </c>
      <c r="L9" s="5" t="s">
        <v>41</v>
      </c>
      <c r="M9" s="5" t="s">
        <v>77</v>
      </c>
    </row>
    <row r="10" customFormat="false" ht="15" hidden="false" customHeight="false" outlineLevel="0" collapsed="false">
      <c r="A10" s="5" t="n">
        <v>9</v>
      </c>
      <c r="B10" s="5" t="s">
        <v>78</v>
      </c>
      <c r="C10" s="6" t="s">
        <v>79</v>
      </c>
      <c r="D10" s="5" t="s">
        <v>80</v>
      </c>
      <c r="E10" s="6" t="s">
        <v>45</v>
      </c>
      <c r="F10" s="6" t="s">
        <v>81</v>
      </c>
      <c r="G10" s="6" t="s">
        <v>38</v>
      </c>
      <c r="H10" s="6" t="s">
        <v>82</v>
      </c>
      <c r="I10" s="5" t="n">
        <v>3</v>
      </c>
      <c r="J10" s="5" t="s">
        <v>53</v>
      </c>
      <c r="K10" s="5" t="s">
        <v>83</v>
      </c>
      <c r="L10" s="5" t="s">
        <v>84</v>
      </c>
      <c r="M10" s="6" t="s">
        <v>85</v>
      </c>
    </row>
    <row r="11" customFormat="false" ht="15" hidden="false" customHeight="false" outlineLevel="0" collapsed="false">
      <c r="A11" s="5" t="n">
        <v>10</v>
      </c>
      <c r="B11" s="6" t="s">
        <v>86</v>
      </c>
      <c r="C11" s="6" t="s">
        <v>87</v>
      </c>
      <c r="D11" s="6" t="s">
        <v>88</v>
      </c>
      <c r="E11" s="6" t="s">
        <v>45</v>
      </c>
      <c r="F11" s="6" t="s">
        <v>89</v>
      </c>
      <c r="G11" s="6" t="s">
        <v>90</v>
      </c>
      <c r="H11" s="6" t="s">
        <v>82</v>
      </c>
      <c r="I11" s="5" t="n">
        <v>4</v>
      </c>
      <c r="J11" s="5" t="s">
        <v>53</v>
      </c>
      <c r="K11" s="6" t="s">
        <v>91</v>
      </c>
      <c r="L11" s="5" t="s">
        <v>92</v>
      </c>
      <c r="M11" s="6" t="s">
        <v>93</v>
      </c>
    </row>
    <row r="12" customFormat="false" ht="15" hidden="false" customHeight="false" outlineLevel="0" collapsed="false">
      <c r="A12" s="7" t="n">
        <v>11</v>
      </c>
      <c r="B12" s="8" t="s">
        <v>94</v>
      </c>
      <c r="C12" s="8" t="s">
        <v>95</v>
      </c>
      <c r="D12" s="8" t="s">
        <v>96</v>
      </c>
      <c r="E12" s="8" t="s">
        <v>97</v>
      </c>
      <c r="F12" s="8" t="s">
        <v>98</v>
      </c>
      <c r="G12" s="8" t="s">
        <v>99</v>
      </c>
      <c r="H12" s="8" t="s">
        <v>100</v>
      </c>
      <c r="I12" s="7" t="n">
        <v>5</v>
      </c>
      <c r="J12" s="7" t="s">
        <v>101</v>
      </c>
      <c r="K12" s="8" t="s">
        <v>102</v>
      </c>
      <c r="L12" s="8" t="s">
        <v>103</v>
      </c>
      <c r="M12" s="7" t="s">
        <v>104</v>
      </c>
    </row>
    <row r="13" customFormat="false" ht="15" hidden="false" customHeight="false" outlineLevel="0" collapsed="false">
      <c r="A13" s="7" t="n">
        <v>12</v>
      </c>
      <c r="B13" s="8" t="s">
        <v>105</v>
      </c>
      <c r="C13" s="8" t="s">
        <v>106</v>
      </c>
      <c r="D13" s="8" t="s">
        <v>107</v>
      </c>
      <c r="E13" s="8" t="s">
        <v>108</v>
      </c>
      <c r="F13" s="8" t="s">
        <v>81</v>
      </c>
      <c r="G13" s="8" t="s">
        <v>109</v>
      </c>
      <c r="H13" s="8" t="s">
        <v>82</v>
      </c>
      <c r="I13" s="7" t="n">
        <v>3</v>
      </c>
      <c r="J13" s="7" t="s">
        <v>101</v>
      </c>
      <c r="K13" s="8" t="s">
        <v>110</v>
      </c>
      <c r="L13" s="7" t="s">
        <v>111</v>
      </c>
      <c r="M13" s="8" t="s">
        <v>112</v>
      </c>
    </row>
    <row r="14" customFormat="false" ht="23.85" hidden="false" customHeight="false" outlineLevel="0" collapsed="false">
      <c r="A14" s="7" t="n">
        <v>13</v>
      </c>
      <c r="B14" s="8" t="s">
        <v>113</v>
      </c>
      <c r="C14" s="8" t="s">
        <v>114</v>
      </c>
      <c r="D14" s="8" t="s">
        <v>115</v>
      </c>
      <c r="E14" s="8" t="s">
        <v>27</v>
      </c>
      <c r="F14" s="8" t="s">
        <v>81</v>
      </c>
      <c r="G14" s="8" t="s">
        <v>116</v>
      </c>
      <c r="H14" s="8" t="s">
        <v>82</v>
      </c>
      <c r="I14" s="7" t="n">
        <v>3</v>
      </c>
      <c r="J14" s="7" t="s">
        <v>101</v>
      </c>
      <c r="K14" s="8" t="s">
        <v>117</v>
      </c>
      <c r="L14" s="7" t="s">
        <v>118</v>
      </c>
      <c r="M14" s="8" t="s">
        <v>119</v>
      </c>
    </row>
    <row r="15" customFormat="false" ht="15" hidden="false" customHeight="false" outlineLevel="0" collapsed="false">
      <c r="A15" s="7" t="n">
        <v>14</v>
      </c>
      <c r="B15" s="8" t="s">
        <v>120</v>
      </c>
      <c r="C15" s="8" t="s">
        <v>121</v>
      </c>
      <c r="D15" s="8" t="s">
        <v>120</v>
      </c>
      <c r="E15" s="8" t="s">
        <v>122</v>
      </c>
      <c r="F15" s="8" t="s">
        <v>81</v>
      </c>
      <c r="G15" s="8" t="s">
        <v>123</v>
      </c>
      <c r="H15" s="7" t="s">
        <v>124</v>
      </c>
      <c r="I15" s="7" t="n">
        <v>3</v>
      </c>
      <c r="J15" s="7" t="s">
        <v>101</v>
      </c>
      <c r="K15" s="8" t="s">
        <v>125</v>
      </c>
      <c r="L15" s="7" t="s">
        <v>126</v>
      </c>
      <c r="M15" s="8" t="s">
        <v>127</v>
      </c>
    </row>
    <row r="16" customFormat="false" ht="15" hidden="false" customHeight="false" outlineLevel="0" collapsed="false">
      <c r="A16" s="7" t="n">
        <v>15</v>
      </c>
      <c r="B16" s="8" t="s">
        <v>128</v>
      </c>
      <c r="C16" s="8" t="s">
        <v>129</v>
      </c>
      <c r="D16" s="8" t="s">
        <v>130</v>
      </c>
      <c r="E16" s="8" t="s">
        <v>131</v>
      </c>
      <c r="F16" s="8" t="s">
        <v>132</v>
      </c>
      <c r="G16" s="8" t="s">
        <v>133</v>
      </c>
      <c r="H16" s="8" t="s">
        <v>82</v>
      </c>
      <c r="I16" s="7" t="n">
        <v>2</v>
      </c>
      <c r="J16" s="7" t="s">
        <v>101</v>
      </c>
      <c r="K16" s="8" t="s">
        <v>134</v>
      </c>
      <c r="L16" s="7" t="s">
        <v>135</v>
      </c>
      <c r="M16" s="8" t="s">
        <v>136</v>
      </c>
    </row>
    <row r="17" customFormat="false" ht="15" hidden="false" customHeight="false" outlineLevel="0" collapsed="false">
      <c r="A17" s="7" t="n">
        <v>16</v>
      </c>
      <c r="B17" s="8" t="s">
        <v>137</v>
      </c>
      <c r="C17" s="8" t="s">
        <v>138</v>
      </c>
      <c r="D17" s="8" t="s">
        <v>139</v>
      </c>
      <c r="E17" s="8" t="s">
        <v>140</v>
      </c>
      <c r="F17" s="8" t="s">
        <v>81</v>
      </c>
      <c r="G17" s="8" t="s">
        <v>141</v>
      </c>
      <c r="H17" s="8" t="s">
        <v>82</v>
      </c>
      <c r="I17" s="7" t="n">
        <v>2</v>
      </c>
      <c r="J17" s="7" t="s">
        <v>101</v>
      </c>
      <c r="K17" s="8" t="s">
        <v>142</v>
      </c>
      <c r="L17" s="7" t="s">
        <v>143</v>
      </c>
      <c r="M17" s="7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50"/>
  </cols>
  <sheetData>
    <row r="1" customFormat="false" ht="30" hidden="false" customHeight="true" outlineLevel="0" collapsed="false">
      <c r="A1" s="2" t="s">
        <v>9</v>
      </c>
      <c r="B1" s="2" t="s">
        <v>145</v>
      </c>
      <c r="C1" s="2" t="s">
        <v>146</v>
      </c>
      <c r="D1" s="2" t="s">
        <v>147</v>
      </c>
    </row>
    <row r="2" customFormat="false" ht="15" hidden="false" customHeight="false" outlineLevel="0" collapsed="false">
      <c r="A2" s="9" t="s">
        <v>20</v>
      </c>
      <c r="B2" s="9" t="n">
        <f aca="false">COUNTIF(補助計劃比較!J:J,"Tier 0")</f>
        <v>4</v>
      </c>
      <c r="C2" s="9" t="n">
        <v>1950</v>
      </c>
      <c r="D2" s="10" t="s">
        <v>148</v>
      </c>
    </row>
    <row r="3" customFormat="false" ht="15" hidden="false" customHeight="false" outlineLevel="0" collapsed="false">
      <c r="A3" s="9" t="s">
        <v>53</v>
      </c>
      <c r="B3" s="9" t="n">
        <f aca="false">COUNTIF(補助計劃比較!J:J,"Tier 1")</f>
        <v>6</v>
      </c>
      <c r="C3" s="9" t="n">
        <v>2400</v>
      </c>
      <c r="D3" s="9" t="s">
        <v>149</v>
      </c>
    </row>
    <row r="4" customFormat="false" ht="15" hidden="false" customHeight="false" outlineLevel="0" collapsed="false">
      <c r="A4" s="9" t="s">
        <v>101</v>
      </c>
      <c r="B4" s="9" t="n">
        <f aca="false">COUNTIF(補助計劃比較!J:J,"Tier 2")</f>
        <v>6</v>
      </c>
      <c r="C4" s="9" t="n">
        <v>0</v>
      </c>
      <c r="D4" s="10" t="s">
        <v>150</v>
      </c>
    </row>
    <row r="5" customFormat="false" ht="15" hidden="false" customHeight="false" outlineLevel="0" collapsed="false">
      <c r="A5" s="10" t="s">
        <v>151</v>
      </c>
      <c r="B5" s="9" t="n">
        <f aca="false">SUM(B2:B4)</f>
        <v>16</v>
      </c>
      <c r="C5" s="9" t="n">
        <f aca="false">SUM(C2:C4)</f>
        <v>4350</v>
      </c>
      <c r="D5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1" t="s">
        <v>152</v>
      </c>
    </row>
    <row r="2" customFormat="false" ht="15" hidden="false" customHeight="false" outlineLevel="0" collapsed="false">
      <c r="A2" s="12" t="s">
        <v>4</v>
      </c>
      <c r="B2" s="12" t="s">
        <v>153</v>
      </c>
    </row>
    <row r="3" customFormat="false" ht="15" hidden="false" customHeight="false" outlineLevel="0" collapsed="false">
      <c r="A3" s="12" t="s">
        <v>154</v>
      </c>
      <c r="B3" s="0" t="s">
        <v>155</v>
      </c>
    </row>
    <row r="4" customFormat="false" ht="14.9" hidden="false" customHeight="false" outlineLevel="0" collapsed="false">
      <c r="A4" s="12" t="s">
        <v>156</v>
      </c>
      <c r="B4" s="12" t="s">
        <v>157</v>
      </c>
    </row>
    <row r="5" customFormat="false" ht="14.9" hidden="false" customHeight="false" outlineLevel="0" collapsed="false">
      <c r="A5" s="12" t="s">
        <v>158</v>
      </c>
      <c r="B5" s="0" t="s">
        <v>159</v>
      </c>
    </row>
    <row r="6" customFormat="false" ht="14.9" hidden="false" customHeight="false" outlineLevel="0" collapsed="false">
      <c r="A6" s="12" t="s">
        <v>160</v>
      </c>
      <c r="B6" s="0" t="s">
        <v>161</v>
      </c>
    </row>
    <row r="8" customFormat="false" ht="15" hidden="false" customHeight="false" outlineLevel="0" collapsed="false">
      <c r="A8" s="11" t="s">
        <v>162</v>
      </c>
    </row>
    <row r="9" customFormat="false" ht="15" hidden="false" customHeight="false" outlineLevel="0" collapsed="false">
      <c r="A9" s="12" t="s">
        <v>163</v>
      </c>
      <c r="B9" s="0" t="s">
        <v>63</v>
      </c>
    </row>
    <row r="10" customFormat="false" ht="15" hidden="false" customHeight="false" outlineLevel="0" collapsed="false">
      <c r="A10" s="12" t="s">
        <v>164</v>
      </c>
      <c r="B10" s="0" t="s">
        <v>41</v>
      </c>
    </row>
    <row r="11" customFormat="false" ht="15" hidden="false" customHeight="false" outlineLevel="0" collapsed="false">
      <c r="A11" s="12" t="s">
        <v>165</v>
      </c>
      <c r="B11" s="0" t="s">
        <v>22</v>
      </c>
    </row>
    <row r="12" customFormat="false" ht="15" hidden="false" customHeight="false" outlineLevel="0" collapsed="false">
      <c r="A12" s="0" t="s">
        <v>166</v>
      </c>
      <c r="B12" s="0" t="s">
        <v>55</v>
      </c>
    </row>
    <row r="13" customFormat="false" ht="15" hidden="false" customHeight="false" outlineLevel="0" collapsed="false">
      <c r="A13" s="12" t="s">
        <v>167</v>
      </c>
      <c r="B13" s="0" t="s">
        <v>31</v>
      </c>
    </row>
    <row r="14" customFormat="false" ht="15" hidden="false" customHeight="false" outlineLevel="0" collapsed="false">
      <c r="A14" s="0" t="s">
        <v>168</v>
      </c>
      <c r="B14" s="0" t="s">
        <v>72</v>
      </c>
    </row>
    <row r="15" customFormat="false" ht="15" hidden="false" customHeight="false" outlineLevel="0" collapsed="false">
      <c r="A15" s="12" t="s">
        <v>114</v>
      </c>
      <c r="B15" s="0" t="s">
        <v>118</v>
      </c>
    </row>
    <row r="16" customFormat="false" ht="15" hidden="false" customHeight="false" outlineLevel="0" collapsed="false">
      <c r="A16" s="12" t="s">
        <v>169</v>
      </c>
      <c r="B16" s="0" t="s">
        <v>84</v>
      </c>
    </row>
    <row r="18" customFormat="false" ht="15" hidden="false" customHeight="false" outlineLevel="0" collapsed="false">
      <c r="A18" s="11" t="s">
        <v>170</v>
      </c>
      <c r="B18" s="0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2026-05-04T09:46:27Z</dcterms:created>
  <dc:creator>openpyxl</dc:creator>
  <dc:description/>
  <dc:language>en-US</dc:language>
  <cp:lastModifiedBy/>
  <dcterms:modified xsi:type="dcterms:W3CDTF">2026-05-04T09:46:27Z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